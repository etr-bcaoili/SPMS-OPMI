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480" windowHeight="75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Q29" i="1"/>
  <c r="T29" s="1"/>
  <c r="T28"/>
  <c r="Q28"/>
  <c r="T27"/>
  <c r="Q27"/>
  <c r="T26"/>
  <c r="Q26"/>
  <c r="T25"/>
  <c r="Q25"/>
  <c r="T24"/>
  <c r="Q24"/>
  <c r="T23"/>
  <c r="Q23"/>
  <c r="T22"/>
  <c r="Q22"/>
  <c r="T21"/>
  <c r="Q21"/>
  <c r="T20"/>
  <c r="Q20"/>
  <c r="T19"/>
  <c r="Q19"/>
  <c r="T18"/>
  <c r="Q18"/>
  <c r="T17"/>
  <c r="Q17"/>
  <c r="T16"/>
  <c r="Q16"/>
  <c r="T15"/>
  <c r="Q15"/>
  <c r="T14"/>
  <c r="Q14"/>
  <c r="T13"/>
  <c r="Q13"/>
  <c r="T12"/>
  <c r="Q12"/>
  <c r="T11"/>
  <c r="Q11"/>
  <c r="T10"/>
  <c r="Q10"/>
  <c r="T9"/>
  <c r="Q9"/>
  <c r="T8"/>
  <c r="Q8"/>
  <c r="T7"/>
  <c r="Q7"/>
  <c r="T6"/>
  <c r="Q6"/>
  <c r="T5"/>
  <c r="Q5"/>
  <c r="T4"/>
  <c r="Q4"/>
  <c r="T3"/>
  <c r="Q3"/>
  <c r="Q2"/>
  <c r="T2" s="1"/>
</calcChain>
</file>

<file path=xl/sharedStrings.xml><?xml version="1.0" encoding="utf-8"?>
<sst xmlns="http://schemas.openxmlformats.org/spreadsheetml/2006/main" count="138" uniqueCount="28">
  <si>
    <t>Channel Code</t>
  </si>
  <si>
    <t>Channel Customer Code</t>
  </si>
  <si>
    <t>Customer Name</t>
  </si>
  <si>
    <t>Customer Address</t>
  </si>
  <si>
    <t>Zip Code</t>
  </si>
  <si>
    <t>Province / City</t>
  </si>
  <si>
    <t>Municipality / Location</t>
  </si>
  <si>
    <t>Month</t>
  </si>
  <si>
    <t>Year</t>
  </si>
  <si>
    <t>Lot No.</t>
  </si>
  <si>
    <t>Exp.Date</t>
  </si>
  <si>
    <t>Comm. Quantity</t>
  </si>
  <si>
    <t>Free Goods Qty.</t>
  </si>
  <si>
    <t>Net Value (Inclusive of Vat)</t>
  </si>
  <si>
    <t>Order Type</t>
  </si>
  <si>
    <t>Transaction Type</t>
  </si>
  <si>
    <t>INVOICE DATE</t>
  </si>
  <si>
    <t>INVOICE NUMBER</t>
  </si>
  <si>
    <t>ItemCode</t>
  </si>
  <si>
    <t>ItemName</t>
  </si>
  <si>
    <t>Slsman Code</t>
  </si>
  <si>
    <t>Salesman Name</t>
  </si>
  <si>
    <t>Unit Price</t>
  </si>
  <si>
    <t>Vlam</t>
  </si>
  <si>
    <t>Linedics</t>
  </si>
  <si>
    <t>Discount</t>
  </si>
  <si>
    <t>N</t>
  </si>
  <si>
    <t>999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</si>
</sst>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mm/dd/yyyy"/>
    <numFmt numFmtId="165" formatCode="#,##0.00###;\-#,##0.00###"/>
    <numFmt numFmtId="166" formatCode="_(* #,##0_);_(* \(#,##0\);_(* &quot;-&quot;??_);_(@_)"/>
    <numFmt numFmtId="167" formatCode="#,##0.00;\-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ahoma"/>
      <family val="2"/>
    </font>
    <font>
      <sz val="10"/>
      <name val="Arial"/>
    </font>
    <font>
      <sz val="8"/>
      <color indexed="8"/>
      <name val="Arial"/>
    </font>
    <font>
      <sz val="8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164" fontId="4" fillId="0" borderId="0" xfId="2" applyNumberFormat="1" applyFont="1"/>
    <xf numFmtId="49" fontId="4" fillId="0" borderId="0" xfId="2" applyNumberFormat="1" applyFont="1"/>
    <xf numFmtId="0" fontId="5" fillId="0" borderId="0" xfId="0" applyFont="1"/>
    <xf numFmtId="49" fontId="4" fillId="0" borderId="0" xfId="0" applyNumberFormat="1" applyFont="1"/>
    <xf numFmtId="0" fontId="5" fillId="0" borderId="0" xfId="0" applyFont="1" applyAlignment="1">
      <alignment wrapText="1"/>
    </xf>
    <xf numFmtId="165" fontId="4" fillId="0" borderId="0" xfId="2" applyNumberFormat="1" applyFont="1"/>
    <xf numFmtId="166" fontId="4" fillId="0" borderId="0" xfId="1" applyNumberFormat="1" applyFont="1"/>
    <xf numFmtId="49" fontId="6" fillId="0" borderId="0" xfId="2" applyNumberFormat="1" applyFont="1"/>
    <xf numFmtId="165" fontId="6" fillId="0" borderId="0" xfId="0" applyNumberFormat="1" applyFont="1"/>
    <xf numFmtId="43" fontId="2" fillId="0" borderId="0" xfId="1" applyFont="1" applyBorder="1" applyAlignment="1"/>
    <xf numFmtId="4" fontId="7" fillId="0" borderId="0" xfId="0" applyNumberFormat="1" applyFont="1"/>
    <xf numFmtId="167" fontId="4" fillId="0" borderId="0" xfId="2" applyNumberFormat="1" applyFont="1"/>
    <xf numFmtId="0" fontId="0" fillId="0" borderId="0" xfId="0" quotePrefix="1"/>
    <xf numFmtId="0" fontId="8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>
      <selection activeCell="A2" sqref="A2"/>
    </sheetView>
  </sheetViews>
  <sheetFormatPr defaultRowHeight="15"/>
  <cols>
    <col min="1" max="1" width="13.42578125" bestFit="1" customWidth="1"/>
    <col min="2" max="2" width="16" bestFit="1" customWidth="1"/>
    <col min="3" max="3" width="13.5703125" bestFit="1" customWidth="1"/>
    <col min="4" max="4" width="16.7109375" bestFit="1" customWidth="1"/>
    <col min="5" max="6" width="17.28515625" customWidth="1"/>
    <col min="7" max="7" width="22.7109375" bestFit="1" customWidth="1"/>
    <col min="8" max="8" width="15.42578125" bestFit="1" customWidth="1"/>
    <col min="9" max="11" width="24.85546875" customWidth="1"/>
    <col min="12" max="12" width="11.5703125" customWidth="1"/>
    <col min="13" max="13" width="10.7109375" customWidth="1"/>
    <col min="14" max="14" width="15.5703125" bestFit="1" customWidth="1"/>
    <col min="15" max="15" width="15.28515625" bestFit="1" customWidth="1"/>
    <col min="16" max="19" width="15.28515625" customWidth="1"/>
    <col min="20" max="22" width="26.140625" customWidth="1"/>
    <col min="23" max="23" width="10.85546875" bestFit="1" customWidth="1"/>
    <col min="25" max="25" width="14" bestFit="1" customWidth="1"/>
    <col min="26" max="26" width="21.5703125" bestFit="1" customWidth="1"/>
  </cols>
  <sheetData>
    <row r="1" spans="1:26" s="1" customFormat="1">
      <c r="A1" s="16" t="s">
        <v>0</v>
      </c>
      <c r="B1" s="16" t="s">
        <v>15</v>
      </c>
      <c r="C1" s="16" t="s">
        <v>16</v>
      </c>
      <c r="D1" s="16" t="s">
        <v>17</v>
      </c>
      <c r="E1" s="16" t="s">
        <v>7</v>
      </c>
      <c r="F1" s="16" t="s">
        <v>8</v>
      </c>
      <c r="G1" s="16" t="s">
        <v>1</v>
      </c>
      <c r="H1" s="16" t="s">
        <v>2</v>
      </c>
      <c r="I1" s="16" t="s">
        <v>3</v>
      </c>
      <c r="J1" s="16" t="s">
        <v>18</v>
      </c>
      <c r="K1" s="16" t="s">
        <v>19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22</v>
      </c>
      <c r="Q1" s="16" t="s">
        <v>23</v>
      </c>
      <c r="R1" s="16" t="s">
        <v>24</v>
      </c>
      <c r="S1" s="16" t="s">
        <v>25</v>
      </c>
      <c r="T1" s="16" t="s">
        <v>13</v>
      </c>
      <c r="U1" s="16" t="s">
        <v>20</v>
      </c>
      <c r="V1" s="16" t="s">
        <v>21</v>
      </c>
      <c r="W1" s="16" t="s">
        <v>14</v>
      </c>
      <c r="X1" s="16" t="s">
        <v>4</v>
      </c>
      <c r="Y1" s="16" t="s">
        <v>5</v>
      </c>
      <c r="Z1" s="16" t="s">
        <v>6</v>
      </c>
    </row>
    <row r="2" spans="1:26">
      <c r="A2" s="2"/>
      <c r="B2" s="2"/>
      <c r="C2" s="3"/>
      <c r="D2" s="4"/>
      <c r="E2" s="4"/>
      <c r="F2" s="4"/>
      <c r="G2" s="5"/>
      <c r="H2" s="6"/>
      <c r="I2" s="7"/>
      <c r="J2" s="4"/>
      <c r="K2" s="4"/>
      <c r="L2" s="2"/>
      <c r="M2" s="2"/>
      <c r="N2" s="8">
        <v>500</v>
      </c>
      <c r="O2" s="9"/>
      <c r="P2" s="12">
        <v>165</v>
      </c>
      <c r="Q2" s="12">
        <f>P2*N2</f>
        <v>82500</v>
      </c>
      <c r="R2" s="8">
        <v>110500</v>
      </c>
      <c r="S2" s="8">
        <v>138.125</v>
      </c>
      <c r="T2" s="13">
        <f t="shared" ref="T2:T29" si="0">Q2</f>
        <v>82500</v>
      </c>
      <c r="U2" s="2">
        <v>203</v>
      </c>
      <c r="V2" s="2"/>
      <c r="W2" s="2" t="s">
        <v>26</v>
      </c>
      <c r="X2" s="15" t="s">
        <v>27</v>
      </c>
      <c r="Y2" s="15" t="s">
        <v>27</v>
      </c>
      <c r="Z2" s="15" t="s">
        <v>27</v>
      </c>
    </row>
    <row r="3" spans="1:26">
      <c r="A3" s="2"/>
      <c r="B3" s="2"/>
      <c r="C3" s="3"/>
      <c r="D3" s="4"/>
      <c r="E3" s="4"/>
      <c r="F3" s="4"/>
      <c r="G3" s="5"/>
      <c r="H3" s="6"/>
      <c r="I3" s="7"/>
      <c r="J3" s="4"/>
      <c r="K3" s="4"/>
      <c r="L3" s="2"/>
      <c r="M3" s="2"/>
      <c r="N3" s="8">
        <v>800</v>
      </c>
      <c r="O3" s="9"/>
      <c r="P3" s="12">
        <v>234</v>
      </c>
      <c r="Q3" s="12">
        <f t="shared" ref="Q3:Q29" si="1">P3*N3</f>
        <v>187200</v>
      </c>
      <c r="R3" s="8">
        <v>86400</v>
      </c>
      <c r="S3" s="8">
        <v>67.5</v>
      </c>
      <c r="T3" s="13">
        <f t="shared" si="0"/>
        <v>187200</v>
      </c>
      <c r="U3" s="2">
        <v>203</v>
      </c>
      <c r="V3" s="2"/>
      <c r="W3" s="2" t="s">
        <v>26</v>
      </c>
      <c r="X3" s="15" t="s">
        <v>27</v>
      </c>
      <c r="Y3" s="15" t="s">
        <v>27</v>
      </c>
      <c r="Z3" s="15" t="s">
        <v>27</v>
      </c>
    </row>
    <row r="4" spans="1:26">
      <c r="A4" s="2"/>
      <c r="B4" s="2"/>
      <c r="C4" s="3"/>
      <c r="D4" s="4"/>
      <c r="E4" s="4"/>
      <c r="F4" s="4"/>
      <c r="G4" s="5"/>
      <c r="H4" s="6"/>
      <c r="I4" s="7"/>
      <c r="J4" s="4"/>
      <c r="K4" s="4"/>
      <c r="L4" s="2"/>
      <c r="M4" s="2"/>
      <c r="N4" s="8">
        <v>260</v>
      </c>
      <c r="O4" s="9"/>
      <c r="P4" s="12">
        <v>198</v>
      </c>
      <c r="Q4" s="12">
        <f t="shared" si="1"/>
        <v>51480</v>
      </c>
      <c r="R4" s="8">
        <v>42900</v>
      </c>
      <c r="S4" s="8">
        <v>103.125</v>
      </c>
      <c r="T4" s="13">
        <f t="shared" si="0"/>
        <v>51480</v>
      </c>
      <c r="U4" s="2">
        <v>203</v>
      </c>
      <c r="V4" s="2"/>
      <c r="W4" s="2" t="s">
        <v>26</v>
      </c>
      <c r="X4" s="15" t="s">
        <v>27</v>
      </c>
      <c r="Y4" s="15" t="s">
        <v>27</v>
      </c>
      <c r="Z4" s="15" t="s">
        <v>27</v>
      </c>
    </row>
    <row r="5" spans="1:26">
      <c r="A5" s="2"/>
      <c r="B5" s="2"/>
      <c r="C5" s="3"/>
      <c r="D5" s="4"/>
      <c r="E5" s="4"/>
      <c r="F5" s="4"/>
      <c r="G5" s="5"/>
      <c r="H5" s="10"/>
      <c r="I5" s="2"/>
      <c r="J5" s="4"/>
      <c r="K5" s="4"/>
      <c r="L5" s="2"/>
      <c r="M5" s="2"/>
      <c r="N5" s="8">
        <v>500</v>
      </c>
      <c r="O5" s="11">
        <v>250</v>
      </c>
      <c r="P5" s="12">
        <v>161</v>
      </c>
      <c r="Q5" s="12">
        <f t="shared" si="1"/>
        <v>80500</v>
      </c>
      <c r="R5" s="8">
        <v>143.75</v>
      </c>
      <c r="S5" s="8">
        <v>143.75</v>
      </c>
      <c r="T5" s="13">
        <f t="shared" si="0"/>
        <v>80500</v>
      </c>
      <c r="U5" s="2">
        <v>408</v>
      </c>
      <c r="V5" s="2"/>
      <c r="W5" s="2" t="s">
        <v>26</v>
      </c>
      <c r="X5" s="15" t="s">
        <v>27</v>
      </c>
      <c r="Y5" s="15" t="s">
        <v>27</v>
      </c>
      <c r="Z5" s="15" t="s">
        <v>27</v>
      </c>
    </row>
    <row r="6" spans="1:26">
      <c r="A6" s="2"/>
      <c r="B6" s="2"/>
      <c r="C6" s="3"/>
      <c r="D6" s="4"/>
      <c r="E6" s="4"/>
      <c r="F6" s="4"/>
      <c r="G6" s="5"/>
      <c r="H6" s="4"/>
      <c r="I6" s="2"/>
      <c r="J6" s="4"/>
      <c r="K6" s="4"/>
      <c r="L6" s="2"/>
      <c r="M6" s="2"/>
      <c r="N6" s="8">
        <v>8</v>
      </c>
      <c r="O6" s="8">
        <v>2</v>
      </c>
      <c r="P6" s="12">
        <v>1550</v>
      </c>
      <c r="Q6" s="12">
        <f t="shared" si="1"/>
        <v>12400</v>
      </c>
      <c r="R6" s="14">
        <v>1107.1428599999999</v>
      </c>
      <c r="S6" s="14">
        <v>1107.1428599999999</v>
      </c>
      <c r="T6" s="13">
        <f t="shared" si="0"/>
        <v>12400</v>
      </c>
      <c r="U6" s="2">
        <v>202</v>
      </c>
      <c r="V6" s="2"/>
      <c r="W6" s="2" t="s">
        <v>26</v>
      </c>
      <c r="X6" s="15" t="s">
        <v>27</v>
      </c>
      <c r="Y6" s="15" t="s">
        <v>27</v>
      </c>
      <c r="Z6" s="15" t="s">
        <v>27</v>
      </c>
    </row>
    <row r="7" spans="1:26">
      <c r="A7" s="2"/>
      <c r="B7" s="2"/>
      <c r="C7" s="3"/>
      <c r="D7" s="4"/>
      <c r="E7" s="4"/>
      <c r="F7" s="4"/>
      <c r="G7" s="5"/>
      <c r="H7" s="4"/>
      <c r="I7" s="2"/>
      <c r="J7" s="4"/>
      <c r="K7" s="4"/>
      <c r="L7" s="2"/>
      <c r="M7" s="2"/>
      <c r="N7" s="8">
        <v>32</v>
      </c>
      <c r="O7" s="8">
        <v>8</v>
      </c>
      <c r="P7" s="12">
        <v>1512</v>
      </c>
      <c r="Q7" s="12">
        <f t="shared" si="1"/>
        <v>48384</v>
      </c>
      <c r="R7" s="14">
        <v>1080</v>
      </c>
      <c r="S7" s="14">
        <v>1080</v>
      </c>
      <c r="T7" s="13">
        <f t="shared" si="0"/>
        <v>48384</v>
      </c>
      <c r="U7" s="2">
        <v>202</v>
      </c>
      <c r="V7" s="2"/>
      <c r="W7" s="2" t="s">
        <v>26</v>
      </c>
      <c r="X7" s="15" t="s">
        <v>27</v>
      </c>
      <c r="Y7" s="15" t="s">
        <v>27</v>
      </c>
      <c r="Z7" s="15" t="s">
        <v>27</v>
      </c>
    </row>
    <row r="8" spans="1:26">
      <c r="A8" s="2"/>
      <c r="B8" s="2"/>
      <c r="C8" s="3"/>
      <c r="D8" s="4"/>
      <c r="E8" s="4"/>
      <c r="F8" s="4"/>
      <c r="G8" s="5"/>
      <c r="H8" s="4"/>
      <c r="I8" s="2"/>
      <c r="J8" s="4"/>
      <c r="K8" s="4"/>
      <c r="L8" s="2"/>
      <c r="M8" s="2"/>
      <c r="N8" s="8">
        <v>20</v>
      </c>
      <c r="O8" s="8">
        <v>5</v>
      </c>
      <c r="P8" s="12">
        <v>1550</v>
      </c>
      <c r="Q8" s="12">
        <f t="shared" si="1"/>
        <v>31000</v>
      </c>
      <c r="R8" s="14">
        <v>1107.1428599999999</v>
      </c>
      <c r="S8" s="14">
        <v>1107.1428599999999</v>
      </c>
      <c r="T8" s="13">
        <f t="shared" si="0"/>
        <v>31000</v>
      </c>
      <c r="U8" s="2">
        <v>202</v>
      </c>
      <c r="V8" s="2"/>
      <c r="W8" s="2" t="s">
        <v>26</v>
      </c>
      <c r="X8" s="15" t="s">
        <v>27</v>
      </c>
      <c r="Y8" s="15" t="s">
        <v>27</v>
      </c>
      <c r="Z8" s="15" t="s">
        <v>27</v>
      </c>
    </row>
    <row r="9" spans="1:26">
      <c r="A9" s="2"/>
      <c r="B9" s="2"/>
      <c r="C9" s="3"/>
      <c r="D9" s="4"/>
      <c r="E9" s="4"/>
      <c r="F9" s="4"/>
      <c r="G9" s="5"/>
      <c r="H9" s="2"/>
      <c r="I9" s="2"/>
      <c r="J9" s="4"/>
      <c r="K9" s="4"/>
      <c r="L9" s="2"/>
      <c r="M9" s="2"/>
      <c r="N9" s="8">
        <v>100</v>
      </c>
      <c r="O9" s="11"/>
      <c r="P9" s="12">
        <v>221</v>
      </c>
      <c r="Q9" s="12">
        <f t="shared" si="1"/>
        <v>22100</v>
      </c>
      <c r="R9" s="14">
        <v>128.25892999999999</v>
      </c>
      <c r="S9" s="14">
        <v>128.25892999999999</v>
      </c>
      <c r="T9" s="13">
        <f t="shared" si="0"/>
        <v>22100</v>
      </c>
      <c r="U9" s="2">
        <v>101</v>
      </c>
      <c r="V9" s="2"/>
      <c r="W9" s="2" t="s">
        <v>26</v>
      </c>
      <c r="X9" s="15" t="s">
        <v>27</v>
      </c>
      <c r="Y9" s="15" t="s">
        <v>27</v>
      </c>
      <c r="Z9" s="15" t="s">
        <v>27</v>
      </c>
    </row>
    <row r="10" spans="1:26">
      <c r="A10" s="2"/>
      <c r="B10" s="2"/>
      <c r="C10" s="3"/>
      <c r="D10" s="4"/>
      <c r="E10" s="4"/>
      <c r="F10" s="4"/>
      <c r="G10" s="5"/>
      <c r="H10" s="2"/>
      <c r="I10" s="2"/>
      <c r="J10" s="4"/>
      <c r="K10" s="4"/>
      <c r="L10" s="2"/>
      <c r="M10" s="2"/>
      <c r="N10" s="8">
        <v>100</v>
      </c>
      <c r="O10" s="2"/>
      <c r="P10" s="12">
        <v>108</v>
      </c>
      <c r="Q10" s="12">
        <f t="shared" si="1"/>
        <v>10800</v>
      </c>
      <c r="R10" s="14">
        <v>62.678570000000001</v>
      </c>
      <c r="S10" s="14">
        <v>62.678570000000001</v>
      </c>
      <c r="T10" s="13">
        <f t="shared" si="0"/>
        <v>10800</v>
      </c>
      <c r="U10" s="2">
        <v>101</v>
      </c>
      <c r="V10" s="2"/>
      <c r="W10" s="2" t="s">
        <v>26</v>
      </c>
      <c r="X10" s="15" t="s">
        <v>27</v>
      </c>
      <c r="Y10" s="15" t="s">
        <v>27</v>
      </c>
      <c r="Z10" s="15" t="s">
        <v>27</v>
      </c>
    </row>
    <row r="11" spans="1:26">
      <c r="A11" s="2"/>
      <c r="B11" s="2"/>
      <c r="C11" s="3"/>
      <c r="D11" s="4"/>
      <c r="E11" s="4"/>
      <c r="F11" s="4"/>
      <c r="G11" s="5"/>
      <c r="H11" s="2"/>
      <c r="I11" s="2"/>
      <c r="J11" s="4"/>
      <c r="K11" s="4"/>
      <c r="L11" s="2"/>
      <c r="M11" s="2"/>
      <c r="N11" s="8">
        <v>50</v>
      </c>
      <c r="O11" s="2"/>
      <c r="P11" s="12">
        <v>245</v>
      </c>
      <c r="Q11" s="12">
        <f t="shared" si="1"/>
        <v>12250</v>
      </c>
      <c r="R11" s="14">
        <v>103.125</v>
      </c>
      <c r="S11" s="14">
        <v>103.125</v>
      </c>
      <c r="T11" s="13">
        <f t="shared" si="0"/>
        <v>12250</v>
      </c>
      <c r="U11" s="2">
        <v>101</v>
      </c>
      <c r="V11" s="2"/>
      <c r="W11" s="2" t="s">
        <v>26</v>
      </c>
      <c r="X11" s="15" t="s">
        <v>27</v>
      </c>
      <c r="Y11" s="15" t="s">
        <v>27</v>
      </c>
      <c r="Z11" s="15" t="s">
        <v>27</v>
      </c>
    </row>
    <row r="12" spans="1:26">
      <c r="A12" s="2"/>
      <c r="B12" s="2"/>
      <c r="C12" s="3"/>
      <c r="D12" s="4"/>
      <c r="E12" s="4"/>
      <c r="F12" s="4"/>
      <c r="G12" s="5"/>
      <c r="H12" s="2"/>
      <c r="I12" s="2"/>
      <c r="J12" s="4"/>
      <c r="K12" s="4"/>
      <c r="L12" s="2"/>
      <c r="M12" s="2"/>
      <c r="N12" s="8">
        <v>50</v>
      </c>
      <c r="O12" s="2"/>
      <c r="P12" s="12">
        <v>165</v>
      </c>
      <c r="Q12" s="12">
        <f t="shared" si="1"/>
        <v>8250</v>
      </c>
      <c r="R12" s="14">
        <v>153.125</v>
      </c>
      <c r="S12" s="14">
        <v>153.125</v>
      </c>
      <c r="T12" s="13">
        <f t="shared" si="0"/>
        <v>8250</v>
      </c>
      <c r="U12" s="2">
        <v>101</v>
      </c>
      <c r="V12" s="2"/>
      <c r="W12" s="2" t="s">
        <v>26</v>
      </c>
      <c r="X12" s="15" t="s">
        <v>27</v>
      </c>
      <c r="Y12" s="15" t="s">
        <v>27</v>
      </c>
      <c r="Z12" s="15" t="s">
        <v>27</v>
      </c>
    </row>
    <row r="13" spans="1:26">
      <c r="A13" s="2"/>
      <c r="B13" s="2"/>
      <c r="C13" s="3"/>
      <c r="D13" s="4"/>
      <c r="E13" s="4"/>
      <c r="F13" s="4"/>
      <c r="G13" s="5"/>
      <c r="H13" s="2"/>
      <c r="I13" s="2"/>
      <c r="J13" s="4"/>
      <c r="K13" s="4"/>
      <c r="L13" s="2"/>
      <c r="M13" s="2"/>
      <c r="N13" s="8">
        <v>100</v>
      </c>
      <c r="O13" s="2"/>
      <c r="P13" s="12">
        <v>181</v>
      </c>
      <c r="Q13" s="12">
        <f t="shared" si="1"/>
        <v>18100</v>
      </c>
      <c r="R13" s="14">
        <v>113.125</v>
      </c>
      <c r="S13" s="14">
        <v>113.125</v>
      </c>
      <c r="T13" s="13">
        <f t="shared" si="0"/>
        <v>18100</v>
      </c>
      <c r="U13" s="2">
        <v>101</v>
      </c>
      <c r="V13" s="2"/>
      <c r="W13" s="2" t="s">
        <v>26</v>
      </c>
      <c r="X13" s="15" t="s">
        <v>27</v>
      </c>
      <c r="Y13" s="15" t="s">
        <v>27</v>
      </c>
      <c r="Z13" s="15" t="s">
        <v>27</v>
      </c>
    </row>
    <row r="14" spans="1:26">
      <c r="A14" s="2"/>
      <c r="B14" s="2"/>
      <c r="C14" s="3"/>
      <c r="D14" s="4"/>
      <c r="E14" s="4"/>
      <c r="F14" s="4"/>
      <c r="G14" s="5"/>
      <c r="H14" s="2"/>
      <c r="I14" s="2"/>
      <c r="J14" s="4"/>
      <c r="K14" s="4"/>
      <c r="L14" s="2"/>
      <c r="M14" s="2"/>
      <c r="N14" s="8">
        <v>100</v>
      </c>
      <c r="O14" s="2"/>
      <c r="P14" s="12">
        <v>271</v>
      </c>
      <c r="Q14" s="12">
        <f t="shared" si="1"/>
        <v>27100</v>
      </c>
      <c r="R14" s="14">
        <v>157.27679000000001</v>
      </c>
      <c r="S14" s="14">
        <v>157.27679000000001</v>
      </c>
      <c r="T14" s="13">
        <f t="shared" si="0"/>
        <v>27100</v>
      </c>
      <c r="U14" s="2">
        <v>101</v>
      </c>
      <c r="V14" s="2"/>
      <c r="W14" s="2" t="s">
        <v>26</v>
      </c>
      <c r="X14" s="15" t="s">
        <v>27</v>
      </c>
      <c r="Y14" s="15" t="s">
        <v>27</v>
      </c>
      <c r="Z14" s="15" t="s">
        <v>27</v>
      </c>
    </row>
    <row r="15" spans="1:26">
      <c r="A15" s="2"/>
      <c r="B15" s="2"/>
      <c r="C15" s="3"/>
      <c r="D15" s="4"/>
      <c r="E15" s="4"/>
      <c r="F15" s="4"/>
      <c r="G15" s="5"/>
      <c r="H15" s="2"/>
      <c r="I15" s="2"/>
      <c r="J15" s="4"/>
      <c r="K15" s="4"/>
      <c r="L15" s="2"/>
      <c r="M15" s="2"/>
      <c r="N15" s="8">
        <v>100</v>
      </c>
      <c r="O15" s="2"/>
      <c r="P15" s="12">
        <v>271</v>
      </c>
      <c r="Q15" s="12">
        <f t="shared" si="1"/>
        <v>27100</v>
      </c>
      <c r="R15" s="14">
        <v>157.27679000000001</v>
      </c>
      <c r="S15" s="14">
        <v>157.27679000000001</v>
      </c>
      <c r="T15" s="13">
        <f t="shared" si="0"/>
        <v>27100</v>
      </c>
      <c r="U15" s="2">
        <v>101</v>
      </c>
      <c r="V15" s="2"/>
      <c r="W15" s="2" t="s">
        <v>26</v>
      </c>
      <c r="X15" s="15" t="s">
        <v>27</v>
      </c>
      <c r="Y15" s="15" t="s">
        <v>27</v>
      </c>
      <c r="Z15" s="15" t="s">
        <v>27</v>
      </c>
    </row>
    <row r="16" spans="1:26">
      <c r="A16" s="2"/>
      <c r="B16" s="2"/>
      <c r="C16" s="3"/>
      <c r="D16" s="4"/>
      <c r="E16" s="4"/>
      <c r="F16" s="4"/>
      <c r="G16" s="5"/>
      <c r="H16" s="2"/>
      <c r="I16" s="2"/>
      <c r="J16" s="4"/>
      <c r="K16" s="4"/>
      <c r="L16" s="2"/>
      <c r="M16" s="2"/>
      <c r="N16" s="8">
        <v>5</v>
      </c>
      <c r="O16" s="2"/>
      <c r="P16" s="12">
        <v>1550</v>
      </c>
      <c r="Q16" s="12">
        <f t="shared" si="1"/>
        <v>7750</v>
      </c>
      <c r="R16" s="14">
        <v>968.75</v>
      </c>
      <c r="S16" s="14">
        <v>968.75</v>
      </c>
      <c r="T16" s="13">
        <f t="shared" si="0"/>
        <v>7750</v>
      </c>
      <c r="U16" s="2">
        <v>101</v>
      </c>
      <c r="V16" s="2"/>
      <c r="W16" s="2" t="s">
        <v>26</v>
      </c>
      <c r="X16" s="15" t="s">
        <v>27</v>
      </c>
      <c r="Y16" s="15" t="s">
        <v>27</v>
      </c>
      <c r="Z16" s="15" t="s">
        <v>27</v>
      </c>
    </row>
    <row r="17" spans="1:26">
      <c r="A17" s="2"/>
      <c r="B17" s="2"/>
      <c r="C17" s="3"/>
      <c r="D17" s="4"/>
      <c r="E17" s="4"/>
      <c r="F17" s="4"/>
      <c r="G17" s="5"/>
      <c r="H17" s="2"/>
      <c r="I17" s="2"/>
      <c r="J17" s="4"/>
      <c r="K17" s="4"/>
      <c r="L17" s="2"/>
      <c r="M17" s="2"/>
      <c r="N17" s="8">
        <v>5</v>
      </c>
      <c r="O17" s="2"/>
      <c r="P17" s="12">
        <v>1125</v>
      </c>
      <c r="Q17" s="12">
        <f t="shared" si="1"/>
        <v>5625</v>
      </c>
      <c r="R17" s="14">
        <v>703.125</v>
      </c>
      <c r="S17" s="14">
        <v>703.125</v>
      </c>
      <c r="T17" s="13">
        <f t="shared" si="0"/>
        <v>5625</v>
      </c>
      <c r="U17" s="2">
        <v>101</v>
      </c>
      <c r="V17" s="2"/>
      <c r="W17" s="2" t="s">
        <v>26</v>
      </c>
      <c r="X17" s="15" t="s">
        <v>27</v>
      </c>
      <c r="Y17" s="15" t="s">
        <v>27</v>
      </c>
      <c r="Z17" s="15" t="s">
        <v>27</v>
      </c>
    </row>
    <row r="18" spans="1:26">
      <c r="A18" s="2"/>
      <c r="B18" s="2"/>
      <c r="C18" s="3"/>
      <c r="D18" s="4"/>
      <c r="E18" s="4"/>
      <c r="F18" s="4"/>
      <c r="G18" s="5"/>
      <c r="H18" s="2"/>
      <c r="I18" s="2"/>
      <c r="J18" s="4"/>
      <c r="K18" s="4"/>
      <c r="L18" s="2"/>
      <c r="M18" s="2"/>
      <c r="N18" s="8">
        <v>10</v>
      </c>
      <c r="O18" s="2"/>
      <c r="P18" s="12">
        <v>1512</v>
      </c>
      <c r="Q18" s="12">
        <f t="shared" si="1"/>
        <v>15120</v>
      </c>
      <c r="R18" s="14">
        <v>742.5</v>
      </c>
      <c r="S18" s="14">
        <v>742.5</v>
      </c>
      <c r="T18" s="13">
        <f t="shared" si="0"/>
        <v>15120</v>
      </c>
      <c r="U18" s="2">
        <v>101</v>
      </c>
      <c r="V18" s="2"/>
      <c r="W18" s="2" t="s">
        <v>26</v>
      </c>
      <c r="X18" s="15" t="s">
        <v>27</v>
      </c>
      <c r="Y18" s="15" t="s">
        <v>27</v>
      </c>
      <c r="Z18" s="15" t="s">
        <v>27</v>
      </c>
    </row>
    <row r="19" spans="1:26">
      <c r="A19" s="2"/>
      <c r="B19" s="2"/>
      <c r="C19" s="3"/>
      <c r="D19" s="4"/>
      <c r="E19" s="4"/>
      <c r="F19" s="4"/>
      <c r="G19" s="5"/>
      <c r="H19" s="2"/>
      <c r="I19" s="2"/>
      <c r="J19" s="4"/>
      <c r="K19" s="4"/>
      <c r="L19" s="2"/>
      <c r="M19" s="2"/>
      <c r="N19" s="8">
        <v>100</v>
      </c>
      <c r="O19" s="2"/>
      <c r="P19" s="12">
        <v>221</v>
      </c>
      <c r="Q19" s="12">
        <f t="shared" si="1"/>
        <v>22100</v>
      </c>
      <c r="R19" s="14">
        <v>128.25892999999999</v>
      </c>
      <c r="S19" s="14">
        <v>128.25892999999999</v>
      </c>
      <c r="T19" s="13">
        <f t="shared" si="0"/>
        <v>22100</v>
      </c>
      <c r="U19" s="2">
        <v>101</v>
      </c>
      <c r="V19" s="2"/>
      <c r="W19" s="2" t="s">
        <v>26</v>
      </c>
      <c r="X19" s="15" t="s">
        <v>27</v>
      </c>
      <c r="Y19" s="15" t="s">
        <v>27</v>
      </c>
      <c r="Z19" s="15" t="s">
        <v>27</v>
      </c>
    </row>
    <row r="20" spans="1:26">
      <c r="A20" s="2"/>
      <c r="B20" s="2"/>
      <c r="C20" s="3"/>
      <c r="D20" s="4"/>
      <c r="E20" s="4"/>
      <c r="F20" s="4"/>
      <c r="G20" s="5"/>
      <c r="H20" s="2"/>
      <c r="I20" s="2"/>
      <c r="J20" s="4"/>
      <c r="K20" s="4"/>
      <c r="L20" s="2"/>
      <c r="M20" s="2"/>
      <c r="N20" s="8">
        <v>200</v>
      </c>
      <c r="O20" s="2">
        <v>67</v>
      </c>
      <c r="P20" s="12">
        <v>108</v>
      </c>
      <c r="Q20" s="12">
        <f t="shared" si="1"/>
        <v>21600</v>
      </c>
      <c r="R20" s="14">
        <v>62.678570000000001</v>
      </c>
      <c r="S20" s="14">
        <v>62.678570000000001</v>
      </c>
      <c r="T20" s="13">
        <f t="shared" si="0"/>
        <v>21600</v>
      </c>
      <c r="U20" s="2">
        <v>101</v>
      </c>
      <c r="V20" s="2"/>
      <c r="W20" s="2" t="s">
        <v>26</v>
      </c>
      <c r="X20" s="15" t="s">
        <v>27</v>
      </c>
      <c r="Y20" s="15" t="s">
        <v>27</v>
      </c>
      <c r="Z20" s="15" t="s">
        <v>27</v>
      </c>
    </row>
    <row r="21" spans="1:26">
      <c r="A21" s="2"/>
      <c r="B21" s="2"/>
      <c r="C21" s="3"/>
      <c r="D21" s="4"/>
      <c r="E21" s="4"/>
      <c r="F21" s="4"/>
      <c r="G21" s="5"/>
      <c r="H21" s="2"/>
      <c r="I21" s="2"/>
      <c r="J21" s="4"/>
      <c r="K21" s="4"/>
      <c r="L21" s="2"/>
      <c r="M21" s="2"/>
      <c r="N21" s="8">
        <v>25</v>
      </c>
      <c r="O21" s="2"/>
      <c r="P21" s="12">
        <v>165</v>
      </c>
      <c r="Q21" s="12">
        <f t="shared" si="1"/>
        <v>4125</v>
      </c>
      <c r="R21" s="14">
        <v>95.758930000000007</v>
      </c>
      <c r="S21" s="14">
        <v>95.758930000000007</v>
      </c>
      <c r="T21" s="13">
        <f t="shared" si="0"/>
        <v>4125</v>
      </c>
      <c r="U21" s="2">
        <v>101</v>
      </c>
      <c r="V21" s="2"/>
      <c r="W21" s="2" t="s">
        <v>26</v>
      </c>
      <c r="X21" s="15" t="s">
        <v>27</v>
      </c>
      <c r="Y21" s="15" t="s">
        <v>27</v>
      </c>
      <c r="Z21" s="15" t="s">
        <v>27</v>
      </c>
    </row>
    <row r="22" spans="1:26">
      <c r="A22" s="2"/>
      <c r="B22" s="2"/>
      <c r="C22" s="3"/>
      <c r="D22" s="4"/>
      <c r="E22" s="4"/>
      <c r="F22" s="4"/>
      <c r="G22" s="5"/>
      <c r="H22" s="2"/>
      <c r="I22" s="2"/>
      <c r="J22" s="4"/>
      <c r="K22" s="4"/>
      <c r="L22" s="2"/>
      <c r="M22" s="2"/>
      <c r="N22" s="8">
        <v>500</v>
      </c>
      <c r="O22" s="2"/>
      <c r="P22" s="12">
        <v>181</v>
      </c>
      <c r="Q22" s="12">
        <f t="shared" si="1"/>
        <v>90500</v>
      </c>
      <c r="R22" s="14">
        <v>105.04464</v>
      </c>
      <c r="S22" s="14">
        <v>105.04464</v>
      </c>
      <c r="T22" s="13">
        <f t="shared" si="0"/>
        <v>90500</v>
      </c>
      <c r="U22" s="2">
        <v>101</v>
      </c>
      <c r="V22" s="2"/>
      <c r="W22" s="2" t="s">
        <v>26</v>
      </c>
      <c r="X22" s="15" t="s">
        <v>27</v>
      </c>
      <c r="Y22" s="15" t="s">
        <v>27</v>
      </c>
      <c r="Z22" s="15" t="s">
        <v>27</v>
      </c>
    </row>
    <row r="23" spans="1:26">
      <c r="A23" s="2"/>
      <c r="B23" s="2"/>
      <c r="C23" s="3"/>
      <c r="D23" s="4"/>
      <c r="E23" s="4"/>
      <c r="F23" s="4"/>
      <c r="G23" s="5"/>
      <c r="H23" s="2"/>
      <c r="I23" s="2"/>
      <c r="J23" s="4"/>
      <c r="K23" s="4"/>
      <c r="L23" s="2"/>
      <c r="M23" s="2"/>
      <c r="N23" s="8">
        <v>50</v>
      </c>
      <c r="O23" s="2"/>
      <c r="P23" s="12">
        <v>171</v>
      </c>
      <c r="Q23" s="12">
        <f t="shared" si="1"/>
        <v>8550</v>
      </c>
      <c r="R23" s="14">
        <v>99.241069999999993</v>
      </c>
      <c r="S23" s="14">
        <v>99.241069999999993</v>
      </c>
      <c r="T23" s="13">
        <f t="shared" si="0"/>
        <v>8550</v>
      </c>
      <c r="U23" s="2">
        <v>101</v>
      </c>
      <c r="V23" s="2"/>
      <c r="W23" s="2" t="s">
        <v>26</v>
      </c>
      <c r="X23" s="15" t="s">
        <v>27</v>
      </c>
      <c r="Y23" s="15" t="s">
        <v>27</v>
      </c>
      <c r="Z23" s="15" t="s">
        <v>27</v>
      </c>
    </row>
    <row r="24" spans="1:26">
      <c r="A24" s="2"/>
      <c r="B24" s="2"/>
      <c r="C24" s="3"/>
      <c r="D24" s="4"/>
      <c r="E24" s="4"/>
      <c r="F24" s="4"/>
      <c r="G24" s="5"/>
      <c r="H24" s="2"/>
      <c r="I24" s="2"/>
      <c r="J24" s="4"/>
      <c r="K24" s="4"/>
      <c r="L24" s="2"/>
      <c r="M24" s="2"/>
      <c r="N24" s="8">
        <v>50</v>
      </c>
      <c r="O24" s="2"/>
      <c r="P24" s="12">
        <v>271</v>
      </c>
      <c r="Q24" s="12">
        <f t="shared" si="1"/>
        <v>13550</v>
      </c>
      <c r="R24" s="14">
        <v>157.27679000000001</v>
      </c>
      <c r="S24" s="14">
        <v>157.27679000000001</v>
      </c>
      <c r="T24" s="13">
        <f t="shared" si="0"/>
        <v>13550</v>
      </c>
      <c r="U24" s="2">
        <v>101</v>
      </c>
      <c r="V24" s="2"/>
      <c r="W24" s="2" t="s">
        <v>26</v>
      </c>
      <c r="X24" s="15" t="s">
        <v>27</v>
      </c>
      <c r="Y24" s="15" t="s">
        <v>27</v>
      </c>
      <c r="Z24" s="15" t="s">
        <v>27</v>
      </c>
    </row>
    <row r="25" spans="1:26">
      <c r="A25" s="2"/>
      <c r="B25" s="2"/>
      <c r="C25" s="3"/>
      <c r="D25" s="4"/>
      <c r="E25" s="4"/>
      <c r="F25" s="4"/>
      <c r="G25" s="5"/>
      <c r="H25" s="2"/>
      <c r="I25" s="2"/>
      <c r="J25" s="4"/>
      <c r="K25" s="4"/>
      <c r="L25" s="2"/>
      <c r="M25" s="2"/>
      <c r="N25" s="8">
        <v>50</v>
      </c>
      <c r="O25" s="2"/>
      <c r="P25" s="12">
        <v>271</v>
      </c>
      <c r="Q25" s="12">
        <f t="shared" si="1"/>
        <v>13550</v>
      </c>
      <c r="R25" s="14">
        <v>157.27679000000001</v>
      </c>
      <c r="S25" s="14">
        <v>157.27679000000001</v>
      </c>
      <c r="T25" s="13">
        <f t="shared" si="0"/>
        <v>13550</v>
      </c>
      <c r="U25" s="2">
        <v>101</v>
      </c>
      <c r="V25" s="2"/>
      <c r="W25" s="2" t="s">
        <v>26</v>
      </c>
      <c r="X25" s="15" t="s">
        <v>27</v>
      </c>
      <c r="Y25" s="15" t="s">
        <v>27</v>
      </c>
      <c r="Z25" s="15" t="s">
        <v>27</v>
      </c>
    </row>
    <row r="26" spans="1:26">
      <c r="A26" s="2"/>
      <c r="B26" s="2"/>
      <c r="C26" s="3"/>
      <c r="D26" s="4"/>
      <c r="E26" s="4"/>
      <c r="F26" s="4"/>
      <c r="G26" s="5"/>
      <c r="H26" s="2"/>
      <c r="I26" s="2"/>
      <c r="J26" s="4"/>
      <c r="K26" s="4"/>
      <c r="L26" s="2"/>
      <c r="M26" s="2"/>
      <c r="N26" s="8">
        <v>144</v>
      </c>
      <c r="O26" s="2"/>
      <c r="P26" s="12">
        <v>161</v>
      </c>
      <c r="Q26" s="12">
        <f t="shared" si="1"/>
        <v>23184</v>
      </c>
      <c r="R26" s="14">
        <v>93.4375</v>
      </c>
      <c r="S26" s="14">
        <v>93.4375</v>
      </c>
      <c r="T26" s="13">
        <f t="shared" si="0"/>
        <v>23184</v>
      </c>
      <c r="U26" s="2">
        <v>101</v>
      </c>
      <c r="V26" s="2"/>
      <c r="W26" s="2" t="s">
        <v>26</v>
      </c>
      <c r="X26" s="15" t="s">
        <v>27</v>
      </c>
      <c r="Y26" s="15" t="s">
        <v>27</v>
      </c>
      <c r="Z26" s="15" t="s">
        <v>27</v>
      </c>
    </row>
    <row r="27" spans="1:26">
      <c r="A27" s="2"/>
      <c r="B27" s="2"/>
      <c r="C27" s="3"/>
      <c r="D27" s="4"/>
      <c r="E27" s="4"/>
      <c r="F27" s="4"/>
      <c r="G27" s="5"/>
      <c r="H27" s="2"/>
      <c r="I27" s="2"/>
      <c r="J27" s="4"/>
      <c r="K27" s="4"/>
      <c r="L27" s="2"/>
      <c r="M27" s="2"/>
      <c r="N27" s="8">
        <v>10</v>
      </c>
      <c r="O27" s="2"/>
      <c r="P27" s="12">
        <v>1400</v>
      </c>
      <c r="Q27" s="12">
        <f t="shared" si="1"/>
        <v>14000</v>
      </c>
      <c r="R27" s="14">
        <v>812.5</v>
      </c>
      <c r="S27" s="14">
        <v>812.5</v>
      </c>
      <c r="T27" s="13">
        <f t="shared" si="0"/>
        <v>14000</v>
      </c>
      <c r="U27" s="2">
        <v>101</v>
      </c>
      <c r="V27" s="2"/>
      <c r="W27" s="2" t="s">
        <v>26</v>
      </c>
      <c r="X27" s="15" t="s">
        <v>27</v>
      </c>
      <c r="Y27" s="15" t="s">
        <v>27</v>
      </c>
      <c r="Z27" s="15" t="s">
        <v>27</v>
      </c>
    </row>
    <row r="28" spans="1:26">
      <c r="A28" s="2"/>
      <c r="B28" s="2"/>
      <c r="C28" s="3"/>
      <c r="D28" s="4"/>
      <c r="E28" s="4"/>
      <c r="F28" s="4"/>
      <c r="G28" s="5"/>
      <c r="H28" s="2"/>
      <c r="I28" s="2"/>
      <c r="J28" s="4"/>
      <c r="K28" s="4"/>
      <c r="L28" s="2"/>
      <c r="M28" s="2"/>
      <c r="N28" s="8">
        <v>25</v>
      </c>
      <c r="O28" s="2"/>
      <c r="P28" s="12">
        <v>171</v>
      </c>
      <c r="Q28" s="12">
        <f t="shared" si="1"/>
        <v>4275</v>
      </c>
      <c r="R28" s="14">
        <v>99.241069999999993</v>
      </c>
      <c r="S28" s="14">
        <v>99.241069999999993</v>
      </c>
      <c r="T28" s="13">
        <f t="shared" si="0"/>
        <v>4275</v>
      </c>
      <c r="U28" s="2">
        <v>101</v>
      </c>
      <c r="V28" s="2"/>
      <c r="W28" s="2" t="s">
        <v>26</v>
      </c>
      <c r="X28" s="15" t="s">
        <v>27</v>
      </c>
      <c r="Y28" s="15" t="s">
        <v>27</v>
      </c>
      <c r="Z28" s="15" t="s">
        <v>27</v>
      </c>
    </row>
    <row r="29" spans="1:26">
      <c r="A29" s="2"/>
      <c r="B29" s="2"/>
      <c r="C29" s="3"/>
      <c r="D29" s="4"/>
      <c r="E29" s="4"/>
      <c r="F29" s="4"/>
      <c r="G29" s="5"/>
      <c r="H29" s="2"/>
      <c r="I29" s="2"/>
      <c r="J29" s="4"/>
      <c r="K29" s="4"/>
      <c r="L29" s="2"/>
      <c r="M29" s="2"/>
      <c r="N29" s="8">
        <v>25</v>
      </c>
      <c r="O29" s="2"/>
      <c r="P29" s="12">
        <v>271</v>
      </c>
      <c r="Q29" s="12">
        <f t="shared" si="1"/>
        <v>6775</v>
      </c>
      <c r="R29" s="14">
        <v>157.27679000000001</v>
      </c>
      <c r="S29" s="14">
        <v>157.27679000000001</v>
      </c>
      <c r="T29" s="13">
        <f t="shared" si="0"/>
        <v>6775</v>
      </c>
      <c r="U29" s="2">
        <v>101</v>
      </c>
      <c r="V29" s="2"/>
      <c r="W29" s="2" t="s">
        <v>26</v>
      </c>
      <c r="X29" s="15" t="s">
        <v>27</v>
      </c>
      <c r="Y29" s="15" t="s">
        <v>27</v>
      </c>
      <c r="Z29" s="15" t="s">
        <v>27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Lawrence</dc:creator>
  <cp:lastModifiedBy>ETR</cp:lastModifiedBy>
  <dcterms:created xsi:type="dcterms:W3CDTF">2010-04-29T10:15:16Z</dcterms:created>
  <dcterms:modified xsi:type="dcterms:W3CDTF">2010-06-14T11:56:50Z</dcterms:modified>
</cp:coreProperties>
</file>